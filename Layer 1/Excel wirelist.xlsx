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87850_atu_ie/Documents/Networking/Layer 1/"/>
    </mc:Choice>
  </mc:AlternateContent>
  <xr:revisionPtr revIDLastSave="508" documentId="14_{3132F338-D826-4B00-9048-C211A8688D34}" xr6:coauthVersionLast="47" xr6:coauthVersionMax="47" xr10:uidLastSave="{C0439A17-BC88-4EAB-81E2-4CCF76F8EB2A}"/>
  <bookViews>
    <workbookView xWindow="28680" yWindow="-120" windowWidth="29040" windowHeight="15720" activeTab="2" xr2:uid="{95A1ADA5-0E2B-43CE-8DB4-6BE35A3C382C}"/>
  </bookViews>
  <sheets>
    <sheet name="Summary" sheetId="1" r:id="rId1"/>
    <sheet name="Floor Distributer 1A" sheetId="2" r:id="rId2"/>
    <sheet name="Floor Distributer 1B" sheetId="3" r:id="rId3"/>
    <sheet name="Campus Distributor 1" sheetId="4" r:id="rId4"/>
  </sheets>
  <definedNames>
    <definedName name="Total_100mbs">'Floor Distributer 1A'!$K$2</definedName>
    <definedName name="Total_10mbs">'Floor Distributer 1A'!$J$2</definedName>
    <definedName name="Total_1gbs">'Floor Distributer 1A'!$L$2</definedName>
    <definedName name="Total_CAT6_Length">'Floor Distributer 1A'!$H$2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R4" i="4" s="1"/>
  <c r="R6" i="4" s="1"/>
  <c r="R8" i="4" s="1"/>
  <c r="R10" i="4" s="1"/>
  <c r="E1" i="4"/>
  <c r="U14" i="4"/>
  <c r="R15" i="4"/>
  <c r="R17" i="4" s="1"/>
  <c r="N2" i="4"/>
  <c r="M2" i="4"/>
  <c r="L2" i="4"/>
  <c r="K2" i="4"/>
  <c r="R22" i="4" s="1"/>
  <c r="J2" i="4"/>
  <c r="R21" i="4" s="1"/>
  <c r="I2" i="4"/>
  <c r="R20" i="4" s="1"/>
  <c r="R23" i="4" s="1"/>
  <c r="R25" i="4" s="1"/>
  <c r="R27" i="4" s="1"/>
  <c r="S15" i="3"/>
  <c r="V14" i="3"/>
  <c r="O2" i="3"/>
  <c r="N2" i="3"/>
  <c r="M2" i="3"/>
  <c r="L2" i="3"/>
  <c r="S22" i="3" s="1"/>
  <c r="K2" i="3"/>
  <c r="S21" i="3" s="1"/>
  <c r="J2" i="3"/>
  <c r="S20" i="3" s="1"/>
  <c r="H2" i="3"/>
  <c r="V14" i="2"/>
  <c r="H2" i="2"/>
  <c r="S4" i="2" s="1"/>
  <c r="S6" i="2" s="1"/>
  <c r="S8" i="2" s="1"/>
  <c r="M2" i="2"/>
  <c r="J2" i="2"/>
  <c r="S20" i="2" s="1"/>
  <c r="O2" i="2"/>
  <c r="N2" i="2"/>
  <c r="K2" i="2"/>
  <c r="S21" i="2" s="1"/>
  <c r="L2" i="2"/>
  <c r="S22" i="2" s="1"/>
  <c r="S15" i="2"/>
  <c r="S17" i="2" s="1"/>
  <c r="S4" i="3" l="1"/>
  <c r="S6" i="3" s="1"/>
  <c r="S8" i="3" s="1"/>
  <c r="R18" i="4"/>
  <c r="B17" i="1" s="1"/>
  <c r="S23" i="3"/>
  <c r="S25" i="3" s="1"/>
  <c r="S27" i="3" s="1"/>
  <c r="S29" i="3" s="1"/>
  <c r="S30" i="3" s="1"/>
  <c r="B14" i="1" s="1"/>
  <c r="R29" i="4"/>
  <c r="R30" i="4"/>
  <c r="B18" i="1" s="1"/>
  <c r="R11" i="4"/>
  <c r="B16" i="1" s="1"/>
  <c r="S17" i="3"/>
  <c r="S18" i="3" s="1"/>
  <c r="B13" i="1" s="1"/>
  <c r="S18" i="2"/>
  <c r="B9" i="1" s="1"/>
  <c r="S23" i="2"/>
  <c r="S10" i="2"/>
  <c r="S11" i="2" s="1"/>
  <c r="B8" i="1" s="1"/>
  <c r="B26" i="1" l="1"/>
  <c r="S10" i="3"/>
  <c r="S11" i="3" s="1"/>
  <c r="B12" i="1" s="1"/>
  <c r="B25" i="1" s="1"/>
  <c r="S25" i="2"/>
  <c r="S27" i="2" s="1"/>
  <c r="S29" i="2" s="1"/>
  <c r="S30" i="2" s="1"/>
  <c r="B10" i="1" s="1"/>
  <c r="B24" i="1" s="1"/>
  <c r="B27" i="1" l="1"/>
</calcChain>
</file>

<file path=xl/sharedStrings.xml><?xml version="1.0" encoding="utf-8"?>
<sst xmlns="http://schemas.openxmlformats.org/spreadsheetml/2006/main" count="523" uniqueCount="186">
  <si>
    <t>Site</t>
  </si>
  <si>
    <t>Buildings</t>
  </si>
  <si>
    <t>Floors</t>
  </si>
  <si>
    <t>Test &amp; Service</t>
  </si>
  <si>
    <t>Slow Charge</t>
  </si>
  <si>
    <t>Battery Building 1</t>
  </si>
  <si>
    <t>Battery Building 2</t>
  </si>
  <si>
    <t>Substation 1</t>
  </si>
  <si>
    <t>Substation 2</t>
  </si>
  <si>
    <t>Car Wash</t>
  </si>
  <si>
    <t>Fast Charger</t>
  </si>
  <si>
    <t>A</t>
  </si>
  <si>
    <t>B</t>
  </si>
  <si>
    <t>Building</t>
  </si>
  <si>
    <t>Floor</t>
  </si>
  <si>
    <t>Index</t>
  </si>
  <si>
    <t>001</t>
  </si>
  <si>
    <t>002</t>
  </si>
  <si>
    <t>Type</t>
  </si>
  <si>
    <t>CAT6</t>
  </si>
  <si>
    <t>Counter</t>
  </si>
  <si>
    <t>003</t>
  </si>
  <si>
    <t>004</t>
  </si>
  <si>
    <t>005</t>
  </si>
  <si>
    <t>006</t>
  </si>
  <si>
    <t>007</t>
  </si>
  <si>
    <t>Location</t>
  </si>
  <si>
    <t>008</t>
  </si>
  <si>
    <t>Office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</si>
  <si>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</si>
  <si>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</si>
  <si>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</si>
  <si>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</si>
  <si>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</si>
  <si>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</si>
  <si>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</si>
  <si>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</si>
  <si>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</si>
  <si>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</si>
  <si>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Symbol</t>
  </si>
  <si>
    <t>C</t>
  </si>
  <si>
    <t>D</t>
  </si>
  <si>
    <t>E</t>
  </si>
  <si>
    <t>A+B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</si>
  <si>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</si>
  <si>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</si>
  <si>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</si>
  <si>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</si>
  <si>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</si>
  <si>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</si>
  <si>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</si>
  <si>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</si>
  <si>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</si>
  <si>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</si>
  <si>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</si>
  <si>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</si>
  <si>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</si>
  <si>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</si>
  <si>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</si>
  <si>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Wireless AP</t>
  </si>
  <si>
    <t>Security camera</t>
  </si>
  <si>
    <t>Seating Area</t>
  </si>
  <si>
    <t>Length</t>
  </si>
  <si>
    <t>Total CAT6</t>
  </si>
  <si>
    <t>Box</t>
  </si>
  <si>
    <t>Number of Boxes</t>
  </si>
  <si>
    <t>Net Cost Per Box</t>
  </si>
  <si>
    <t>VAT</t>
  </si>
  <si>
    <t>VAT amount</t>
  </si>
  <si>
    <t>Net Total before Vat</t>
  </si>
  <si>
    <t>Gross</t>
  </si>
  <si>
    <t>Total CAT6 Length</t>
  </si>
  <si>
    <t>Total Outlets</t>
  </si>
  <si>
    <t>Function</t>
  </si>
  <si>
    <t>PoS</t>
  </si>
  <si>
    <t>Credit Card</t>
  </si>
  <si>
    <t>Net Cost Per Outlet</t>
  </si>
  <si>
    <t>10mbs</t>
  </si>
  <si>
    <t>100mbs</t>
  </si>
  <si>
    <t>1000mbs</t>
  </si>
  <si>
    <t>Switch</t>
  </si>
  <si>
    <t>Switch Ports</t>
  </si>
  <si>
    <t>Total</t>
  </si>
  <si>
    <t>Number of Switches</t>
  </si>
  <si>
    <t>Net Cost Per Switch</t>
  </si>
  <si>
    <t>Telephone</t>
  </si>
  <si>
    <t>PC</t>
  </si>
  <si>
    <t>Fax</t>
  </si>
  <si>
    <t>Printer</t>
  </si>
  <si>
    <t>PBX</t>
  </si>
  <si>
    <t>Digital</t>
  </si>
  <si>
    <t>Analogue</t>
  </si>
  <si>
    <t>POTS</t>
  </si>
  <si>
    <t>Fire Alarm</t>
  </si>
  <si>
    <t>Burgler Alarm</t>
  </si>
  <si>
    <t>Patch Panel Capactiy</t>
  </si>
  <si>
    <t>Required</t>
  </si>
  <si>
    <t>Total cost of Floor A</t>
  </si>
  <si>
    <t>Total cost of Floor B</t>
  </si>
  <si>
    <t>Floor B Cable Cost</t>
  </si>
  <si>
    <t>Floor B Outlet Cost</t>
  </si>
  <si>
    <t>Floor B Switch Cost</t>
  </si>
  <si>
    <t>Floor A Cable Cost</t>
  </si>
  <si>
    <t>Floor A Outlet Cost</t>
  </si>
  <si>
    <t>Floor A Switch Cost</t>
  </si>
  <si>
    <t>Total Cost of Area</t>
  </si>
  <si>
    <t>Single Mode Fibre</t>
  </si>
  <si>
    <t>CD1 to CD2</t>
  </si>
  <si>
    <t>SuperMarker</t>
  </si>
  <si>
    <t>ForeCourt</t>
  </si>
  <si>
    <t>CD1 to CD3</t>
  </si>
  <si>
    <t>Green Line</t>
  </si>
  <si>
    <t>Total Fibre Length (In Metres)</t>
  </si>
  <si>
    <t>Total CAT6 Length (In Metres)</t>
  </si>
  <si>
    <t>Outside Security camera</t>
  </si>
  <si>
    <t>Total Fibre Length</t>
  </si>
  <si>
    <t>Note: Fibre quote obtained from rs-online.com</t>
  </si>
  <si>
    <t>Reel Length</t>
  </si>
  <si>
    <t>Number of Reels</t>
  </si>
  <si>
    <t>CD1 to FD1</t>
  </si>
  <si>
    <t>Not Visible</t>
  </si>
  <si>
    <t>CD1 to BD1</t>
  </si>
  <si>
    <t>CD Fibre Cost</t>
  </si>
  <si>
    <t>Connecting Distributors</t>
  </si>
  <si>
    <t>Connecting FDs and BDs</t>
  </si>
  <si>
    <t>CD Fibre Outlet Cost</t>
  </si>
  <si>
    <t>CD Switch Cost</t>
  </si>
  <si>
    <t>Total Cost of CD</t>
  </si>
  <si>
    <t>Outside Wireless AP</t>
  </si>
  <si>
    <t>Cable ID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</si>
  <si>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</si>
  <si>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</si>
  <si>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</si>
  <si>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</si>
  <si>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</si>
  <si>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</si>
  <si>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</si>
  <si>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</si>
  <si>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</si>
  <si>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</si>
  <si>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</si>
  <si>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</si>
  <si>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A014</t>
  </si>
  <si>
    <t>A016</t>
  </si>
  <si>
    <t>A017</t>
  </si>
  <si>
    <t>A018</t>
  </si>
  <si>
    <t>A013</t>
  </si>
  <si>
    <t>A015</t>
  </si>
  <si>
    <t>Cable Number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</si>
  <si>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</si>
  <si>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</si>
  <si>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</si>
  <si>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</si>
  <si>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</si>
  <si>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</si>
  <si>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</si>
  <si>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</si>
  <si>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</si>
  <si>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</si>
  <si>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</si>
  <si>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</si>
  <si>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</si>
  <si>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</si>
  <si>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</si>
  <si>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</si>
  <si>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</si>
  <si>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</si>
  <si>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</si>
  <si>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</si>
  <si>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</si>
  <si>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</si>
  <si>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</si>
  <si>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</si>
  <si>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</si>
  <si>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</si>
  <si>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</si>
  <si>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</si>
  <si>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</si>
  <si>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</si>
  <si>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</si>
  <si>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</si>
  <si>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</si>
  <si>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C001</t>
  </si>
  <si>
    <t>C002</t>
  </si>
  <si>
    <t>CDA1</t>
  </si>
  <si>
    <t>CDA2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</si>
</sst>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2" fillId="0" borderId="7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0" fillId="0" borderId="7" xfId="0" applyBorder="1"/>
    <xf numFmtId="0" fontId="2" fillId="0" borderId="7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4" xfId="0" applyBorder="1" applyAlignment="1">
      <alignment textRotation="90"/>
    </xf>
    <xf numFmtId="0" fontId="0" fillId="0" borderId="4" xfId="0" applyBorder="1" applyAlignment="1">
      <alignment horizontal="center" textRotation="90"/>
    </xf>
    <xf numFmtId="0" fontId="0" fillId="0" borderId="6" xfId="0" applyBorder="1"/>
    <xf numFmtId="0" fontId="2" fillId="0" borderId="4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7799-9088-4953-9233-1EFE79798BE7}">
  <dimension ref="A1:K27"/>
  <sheetViews>
    <sheetView workbookViewId="0">
      <selection activeCell="E21" sqref="E21"/>
    </sheetView>
  </sheetViews>
  <sheetFormatPr defaultColWidth="17.5703125" defaultRowHeight="15" x14ac:dyDescent="0.25"/>
  <cols>
    <col min="1" max="1" width="26.85546875" style="8" customWidth="1"/>
    <col min="2" max="11" width="10.7109375" style="16" customWidth="1"/>
    <col min="12" max="12" width="3.28515625" customWidth="1"/>
  </cols>
  <sheetData>
    <row r="1" spans="1:11" x14ac:dyDescent="0.25">
      <c r="A1" s="23" t="s">
        <v>0</v>
      </c>
    </row>
    <row r="2" spans="1:11" s="1" customFormat="1" ht="85.5" x14ac:dyDescent="0.25">
      <c r="A2" s="20"/>
      <c r="B2" s="21" t="s">
        <v>108</v>
      </c>
      <c r="C2" s="21" t="s">
        <v>109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 t="s">
        <v>10</v>
      </c>
    </row>
    <row r="3" spans="1:11" x14ac:dyDescent="0.25">
      <c r="A3" s="23" t="s">
        <v>1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</row>
    <row r="4" spans="1:11" x14ac:dyDescent="0.25">
      <c r="A4" s="23" t="s">
        <v>2</v>
      </c>
      <c r="B4" s="16" t="s">
        <v>11</v>
      </c>
      <c r="C4" s="16" t="s">
        <v>11</v>
      </c>
      <c r="D4" s="16" t="s">
        <v>11</v>
      </c>
      <c r="E4" s="16" t="s">
        <v>11</v>
      </c>
      <c r="F4" s="16" t="s">
        <v>11</v>
      </c>
      <c r="G4" s="16" t="s">
        <v>11</v>
      </c>
      <c r="H4" s="16" t="s">
        <v>11</v>
      </c>
      <c r="I4" s="16" t="s">
        <v>11</v>
      </c>
      <c r="J4" s="16" t="s">
        <v>11</v>
      </c>
      <c r="K4" s="16" t="s">
        <v>11</v>
      </c>
    </row>
    <row r="5" spans="1:11" x14ac:dyDescent="0.25">
      <c r="A5" s="23"/>
      <c r="B5" s="16" t="s">
        <v>12</v>
      </c>
    </row>
    <row r="6" spans="1:11" x14ac:dyDescent="0.25">
      <c r="A6" s="23"/>
    </row>
    <row r="7" spans="1:11" x14ac:dyDescent="0.25">
      <c r="A7" s="23"/>
    </row>
    <row r="8" spans="1:11" x14ac:dyDescent="0.25">
      <c r="A8" s="23" t="s">
        <v>102</v>
      </c>
      <c r="B8" s="17">
        <f>'Floor Distributer 1A'!$S$11</f>
        <v>217.92000000000002</v>
      </c>
      <c r="C8" s="17"/>
      <c r="D8" s="17"/>
      <c r="E8" s="17"/>
      <c r="F8" s="17"/>
      <c r="G8" s="17"/>
      <c r="H8" s="17"/>
      <c r="I8" s="17"/>
      <c r="J8" s="17"/>
      <c r="K8" s="17"/>
    </row>
    <row r="9" spans="1:11" x14ac:dyDescent="0.25">
      <c r="A9" s="23" t="s">
        <v>103</v>
      </c>
      <c r="B9" s="17">
        <f>'Floor Distributer 1A'!$S$18</f>
        <v>204.3</v>
      </c>
      <c r="C9" s="17"/>
      <c r="D9" s="17"/>
      <c r="E9" s="17"/>
      <c r="F9" s="17"/>
      <c r="G9" s="17"/>
      <c r="H9" s="17"/>
      <c r="I9" s="17"/>
      <c r="J9" s="17"/>
      <c r="K9" s="17"/>
    </row>
    <row r="10" spans="1:11" x14ac:dyDescent="0.25">
      <c r="A10" s="23" t="s">
        <v>104</v>
      </c>
      <c r="B10" s="17">
        <f>'Floor Distributer 1A'!$S$30</f>
        <v>2270</v>
      </c>
      <c r="C10" s="17"/>
      <c r="D10" s="17"/>
      <c r="E10" s="17"/>
      <c r="F10" s="17"/>
      <c r="G10" s="17"/>
      <c r="H10" s="17"/>
      <c r="I10" s="17"/>
      <c r="J10" s="17"/>
      <c r="K10" s="17"/>
    </row>
    <row r="11" spans="1:11" x14ac:dyDescent="0.25">
      <c r="A11" s="23"/>
    </row>
    <row r="12" spans="1:11" x14ac:dyDescent="0.25">
      <c r="A12" s="23" t="s">
        <v>99</v>
      </c>
      <c r="B12" s="17">
        <f>'Floor Distributer 1B'!$S$11</f>
        <v>217.92000000000002</v>
      </c>
    </row>
    <row r="13" spans="1:11" x14ac:dyDescent="0.25">
      <c r="A13" s="23" t="s">
        <v>100</v>
      </c>
      <c r="B13" s="17">
        <f>'Floor Distributer 1B'!$S$18</f>
        <v>374.55</v>
      </c>
    </row>
    <row r="14" spans="1:11" x14ac:dyDescent="0.25">
      <c r="A14" s="23" t="s">
        <v>101</v>
      </c>
      <c r="B14" s="17">
        <f>'Floor Distributer 1B'!$S$30</f>
        <v>2270</v>
      </c>
    </row>
    <row r="15" spans="1:11" x14ac:dyDescent="0.25">
      <c r="A15" s="23"/>
    </row>
    <row r="16" spans="1:11" x14ac:dyDescent="0.25">
      <c r="A16" s="23" t="s">
        <v>122</v>
      </c>
      <c r="B16" s="17">
        <f>'Campus Distributor 1'!$R$11</f>
        <v>624.25</v>
      </c>
      <c r="C16" s="17"/>
      <c r="D16" s="17"/>
      <c r="E16" s="17"/>
      <c r="F16" s="17"/>
      <c r="G16" s="17"/>
      <c r="H16" s="17"/>
      <c r="I16" s="17"/>
      <c r="J16" s="17"/>
      <c r="K16" s="17"/>
    </row>
    <row r="17" spans="1:11" x14ac:dyDescent="0.25">
      <c r="A17" s="23" t="s">
        <v>125</v>
      </c>
      <c r="B17" s="17">
        <f>'Campus Distributor 1'!$R$18</f>
        <v>45.4</v>
      </c>
      <c r="C17" s="17"/>
      <c r="D17" s="17"/>
      <c r="E17" s="17"/>
      <c r="F17" s="17"/>
      <c r="G17" s="17"/>
      <c r="H17" s="17"/>
      <c r="I17" s="17"/>
      <c r="J17" s="17"/>
      <c r="K17" s="17"/>
    </row>
    <row r="18" spans="1:11" x14ac:dyDescent="0.25">
      <c r="A18" s="23" t="s">
        <v>126</v>
      </c>
      <c r="B18" s="17">
        <f>'Campus Distributor 1'!$R$30</f>
        <v>2270</v>
      </c>
      <c r="C18" s="17"/>
      <c r="D18" s="17"/>
      <c r="E18" s="17"/>
      <c r="F18" s="17"/>
      <c r="G18" s="17"/>
      <c r="H18" s="17"/>
      <c r="I18" s="17"/>
      <c r="J18" s="17"/>
      <c r="K18" s="17"/>
    </row>
    <row r="19" spans="1:11" x14ac:dyDescent="0.25">
      <c r="A19" s="23"/>
    </row>
    <row r="20" spans="1:11" x14ac:dyDescent="0.25">
      <c r="A20" s="23"/>
    </row>
    <row r="21" spans="1:11" x14ac:dyDescent="0.25">
      <c r="A21" s="23"/>
    </row>
    <row r="22" spans="1:11" x14ac:dyDescent="0.25">
      <c r="A22" s="23"/>
    </row>
    <row r="23" spans="1:11" x14ac:dyDescent="0.25">
      <c r="A23" s="23"/>
    </row>
    <row r="24" spans="1:11" x14ac:dyDescent="0.25">
      <c r="A24" s="23" t="s">
        <v>97</v>
      </c>
      <c r="B24" s="17">
        <f>SUM(B8:B10)</f>
        <v>2692.2200000000003</v>
      </c>
    </row>
    <row r="25" spans="1:11" x14ac:dyDescent="0.25">
      <c r="A25" s="23" t="s">
        <v>98</v>
      </c>
      <c r="B25" s="17">
        <f>SUM(B12:B14)</f>
        <v>2862.4700000000003</v>
      </c>
    </row>
    <row r="26" spans="1:11" x14ac:dyDescent="0.25">
      <c r="A26" s="23" t="s">
        <v>127</v>
      </c>
      <c r="B26" s="17">
        <f>SUM(B16:B18)</f>
        <v>2939.65</v>
      </c>
    </row>
    <row r="27" spans="1:11" x14ac:dyDescent="0.25">
      <c r="A27" s="23" t="s">
        <v>105</v>
      </c>
      <c r="B27" s="17">
        <f>SUM(B24:B26)</f>
        <v>8494.34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6022-CBAB-4355-AE6D-3448E9FD3DC9}">
  <dimension ref="A1:V30"/>
  <sheetViews>
    <sheetView workbookViewId="0">
      <pane ySplit="3" topLeftCell="A4" activePane="bottomLeft" state="frozen"/>
      <selection pane="bottomLeft" activeCell="F27" sqref="F27"/>
    </sheetView>
  </sheetViews>
  <sheetFormatPr defaultColWidth="9.28515625" defaultRowHeight="15" x14ac:dyDescent="0.25"/>
  <cols>
    <col min="1" max="1" width="8.28515625" style="2" bestFit="1" customWidth="1"/>
    <col min="2" max="2" width="5.5703125" style="2" bestFit="1" customWidth="1"/>
    <col min="3" max="3" width="10.85546875" style="2" customWidth="1"/>
    <col min="4" max="4" width="5.7109375" style="3" bestFit="1" customWidth="1"/>
    <col min="5" max="5" width="5.28515625" style="2" bestFit="1" customWidth="1"/>
    <col min="6" max="6" width="15.140625" style="2" bestFit="1" customWidth="1"/>
    <col min="7" max="7" width="16.85546875" customWidth="1"/>
    <col min="8" max="8" width="16.42578125" bestFit="1" customWidth="1"/>
    <col min="9" max="9" width="12.42578125" customWidth="1"/>
    <col min="18" max="18" width="24" customWidth="1"/>
    <col min="19" max="19" width="18.42578125" bestFit="1" customWidth="1"/>
    <col min="20" max="20" width="7.5703125" bestFit="1" customWidth="1"/>
    <col min="21" max="21" width="20.85546875" customWidth="1"/>
  </cols>
  <sheetData>
    <row r="1" spans="1:22" x14ac:dyDescent="0.25">
      <c r="J1" s="24" t="s">
        <v>80</v>
      </c>
      <c r="K1" s="24"/>
      <c r="L1" s="24"/>
      <c r="M1" s="24" t="s">
        <v>89</v>
      </c>
      <c r="N1" s="24"/>
      <c r="O1" s="24"/>
    </row>
    <row r="2" spans="1:22" x14ac:dyDescent="0.25">
      <c r="G2" s="10" t="s">
        <v>71</v>
      </c>
      <c r="H2">
        <f>SUM(H3:H100)</f>
        <v>1080</v>
      </c>
      <c r="J2">
        <f t="shared" ref="J2:O2" si="0">SUM(J4:J21)</f>
        <v>3</v>
      </c>
      <c r="K2">
        <f t="shared" si="0"/>
        <v>3</v>
      </c>
      <c r="L2">
        <f t="shared" si="0"/>
        <v>2</v>
      </c>
      <c r="M2">
        <f t="shared" si="0"/>
        <v>1</v>
      </c>
      <c r="N2">
        <f t="shared" si="0"/>
        <v>0</v>
      </c>
      <c r="O2">
        <f t="shared" si="0"/>
        <v>0</v>
      </c>
    </row>
    <row r="3" spans="1:22" x14ac:dyDescent="0.25">
      <c r="A3" s="11" t="s">
        <v>13</v>
      </c>
      <c r="B3" s="11" t="s">
        <v>14</v>
      </c>
      <c r="C3" s="11" t="s">
        <v>129</v>
      </c>
      <c r="D3" s="12" t="s">
        <v>15</v>
      </c>
      <c r="E3" s="11" t="s">
        <v>18</v>
      </c>
      <c r="F3" s="11" t="s">
        <v>26</v>
      </c>
      <c r="G3" s="11" t="s">
        <v>39</v>
      </c>
      <c r="H3" s="11" t="s">
        <v>62</v>
      </c>
      <c r="I3" s="11" t="s">
        <v>73</v>
      </c>
      <c r="J3" s="14">
        <v>10</v>
      </c>
      <c r="K3" s="14">
        <v>100</v>
      </c>
      <c r="L3" s="14">
        <v>1000</v>
      </c>
      <c r="M3" s="14" t="s">
        <v>90</v>
      </c>
      <c r="N3" s="14" t="s">
        <v>91</v>
      </c>
      <c r="O3" s="14" t="s">
        <v>92</v>
      </c>
      <c r="P3" s="13"/>
      <c r="Q3" s="13"/>
      <c r="R3" s="13"/>
      <c r="S3" s="13"/>
    </row>
    <row r="4" spans="1:22" x14ac:dyDescent="0.25">
      <c r="A4" s="2">
        <v>1</v>
      </c>
      <c r="B4" s="2" t="s">
        <v>11</v>
      </c>
      <c r="C4" s="2" t="s">
        <v>130</v>
      </c>
      <c r="D4" s="4" t="s">
        <v>16</v>
      </c>
      <c r="E4" s="2" t="s">
        <v>19</v>
      </c>
      <c r="F4" s="2" t="s">
        <v>20</v>
      </c>
      <c r="G4" s="2" t="s">
        <v>12</v>
      </c>
      <c r="H4">
        <v>75</v>
      </c>
      <c r="I4" s="2" t="s">
        <v>74</v>
      </c>
      <c r="K4">
        <v>1</v>
      </c>
      <c r="R4" s="7" t="s">
        <v>63</v>
      </c>
      <c r="S4" s="16">
        <f>Total_CAT6_Length</f>
        <v>1080</v>
      </c>
    </row>
    <row r="5" spans="1:22" x14ac:dyDescent="0.25">
      <c r="A5" s="2">
        <v>1</v>
      </c>
      <c r="B5" s="2" t="s">
        <v>11</v>
      </c>
      <c r="C5" s="2" t="s">
        <v>131</v>
      </c>
      <c r="D5" s="4" t="s">
        <v>17</v>
      </c>
      <c r="E5" s="2" t="s">
        <v>19</v>
      </c>
      <c r="F5" s="2" t="s">
        <v>20</v>
      </c>
      <c r="G5" s="2" t="s">
        <v>12</v>
      </c>
      <c r="H5">
        <v>75</v>
      </c>
      <c r="I5" s="2" t="s">
        <v>75</v>
      </c>
      <c r="J5">
        <v>1</v>
      </c>
      <c r="R5" s="7" t="s">
        <v>64</v>
      </c>
      <c r="S5" s="16">
        <v>300</v>
      </c>
    </row>
    <row r="6" spans="1:22" x14ac:dyDescent="0.25">
      <c r="A6" s="2">
        <v>1</v>
      </c>
      <c r="B6" s="2" t="s">
        <v>11</v>
      </c>
      <c r="C6" s="2" t="s">
        <v>132</v>
      </c>
      <c r="D6" s="4" t="s">
        <v>21</v>
      </c>
      <c r="E6" s="2" t="s">
        <v>19</v>
      </c>
      <c r="F6" s="2" t="s">
        <v>20</v>
      </c>
      <c r="G6" s="2" t="s">
        <v>12</v>
      </c>
      <c r="H6">
        <v>75</v>
      </c>
      <c r="I6" s="2" t="s">
        <v>74</v>
      </c>
      <c r="K6">
        <v>1</v>
      </c>
      <c r="R6" s="7" t="s">
        <v>65</v>
      </c>
      <c r="S6" s="16">
        <f>ROUNDUP(S4 / S5, 0)</f>
        <v>4</v>
      </c>
    </row>
    <row r="7" spans="1:22" x14ac:dyDescent="0.25">
      <c r="A7" s="2">
        <v>1</v>
      </c>
      <c r="B7" s="2" t="s">
        <v>11</v>
      </c>
      <c r="C7" s="2" t="s">
        <v>133</v>
      </c>
      <c r="D7" s="4" t="s">
        <v>22</v>
      </c>
      <c r="E7" s="2" t="s">
        <v>19</v>
      </c>
      <c r="F7" s="2" t="s">
        <v>20</v>
      </c>
      <c r="G7" s="2" t="s">
        <v>12</v>
      </c>
      <c r="H7">
        <v>75</v>
      </c>
      <c r="I7" s="2" t="s">
        <v>75</v>
      </c>
      <c r="J7">
        <v>1</v>
      </c>
      <c r="R7" s="7" t="s">
        <v>66</v>
      </c>
      <c r="S7" s="16">
        <v>48</v>
      </c>
    </row>
    <row r="8" spans="1:22" x14ac:dyDescent="0.25">
      <c r="A8" s="2">
        <v>1</v>
      </c>
      <c r="B8" s="2" t="s">
        <v>11</v>
      </c>
      <c r="C8" s="2" t="s">
        <v>134</v>
      </c>
      <c r="D8" s="4" t="s">
        <v>23</v>
      </c>
      <c r="E8" s="2" t="s">
        <v>19</v>
      </c>
      <c r="F8" s="2" t="s">
        <v>20</v>
      </c>
      <c r="G8" s="2" t="s">
        <v>12</v>
      </c>
      <c r="H8">
        <v>75</v>
      </c>
      <c r="I8" s="2" t="s">
        <v>74</v>
      </c>
      <c r="K8">
        <v>1</v>
      </c>
      <c r="R8" s="7" t="s">
        <v>69</v>
      </c>
      <c r="S8" s="17">
        <f>S7 * S6</f>
        <v>192</v>
      </c>
    </row>
    <row r="9" spans="1:22" x14ac:dyDescent="0.25">
      <c r="A9" s="2">
        <v>1</v>
      </c>
      <c r="B9" s="2" t="s">
        <v>11</v>
      </c>
      <c r="C9" s="2" t="s">
        <v>135</v>
      </c>
      <c r="D9" s="4" t="s">
        <v>24</v>
      </c>
      <c r="E9" s="2" t="s">
        <v>19</v>
      </c>
      <c r="F9" s="2" t="s">
        <v>20</v>
      </c>
      <c r="G9" s="2" t="s">
        <v>12</v>
      </c>
      <c r="H9">
        <v>75</v>
      </c>
      <c r="I9" s="2" t="s">
        <v>75</v>
      </c>
      <c r="J9">
        <v>1</v>
      </c>
      <c r="R9" s="7" t="s">
        <v>67</v>
      </c>
      <c r="S9" s="18">
        <v>0.13500000000000001</v>
      </c>
    </row>
    <row r="10" spans="1:22" x14ac:dyDescent="0.25">
      <c r="A10" s="2">
        <v>1</v>
      </c>
      <c r="B10" s="2" t="s">
        <v>11</v>
      </c>
      <c r="C10" s="2" t="s">
        <v>136</v>
      </c>
      <c r="D10" s="4" t="s">
        <v>25</v>
      </c>
      <c r="E10" s="2" t="s">
        <v>19</v>
      </c>
      <c r="F10" s="2" t="s">
        <v>59</v>
      </c>
      <c r="G10" s="2" t="s">
        <v>40</v>
      </c>
      <c r="H10">
        <v>40</v>
      </c>
      <c r="R10" s="7" t="s">
        <v>68</v>
      </c>
      <c r="S10" s="17">
        <f>S8*S9</f>
        <v>25.92</v>
      </c>
    </row>
    <row r="11" spans="1:22" x14ac:dyDescent="0.25">
      <c r="A11" s="2">
        <v>1</v>
      </c>
      <c r="B11" s="2" t="s">
        <v>11</v>
      </c>
      <c r="C11" s="2" t="s">
        <v>137</v>
      </c>
      <c r="D11" s="4" t="s">
        <v>27</v>
      </c>
      <c r="E11" s="2" t="s">
        <v>19</v>
      </c>
      <c r="F11" s="2" t="s">
        <v>60</v>
      </c>
      <c r="G11" s="2" t="s">
        <v>41</v>
      </c>
      <c r="H11">
        <v>65</v>
      </c>
      <c r="R11" s="9" t="s">
        <v>70</v>
      </c>
      <c r="S11" s="19">
        <f>S8+S10</f>
        <v>217.92000000000002</v>
      </c>
    </row>
    <row r="12" spans="1:22" x14ac:dyDescent="0.25">
      <c r="A12" s="2">
        <v>1</v>
      </c>
      <c r="B12" s="2" t="s">
        <v>11</v>
      </c>
      <c r="C12" s="2" t="s">
        <v>138</v>
      </c>
      <c r="D12" s="4" t="s">
        <v>29</v>
      </c>
      <c r="E12" s="2" t="s">
        <v>19</v>
      </c>
      <c r="F12" s="2" t="s">
        <v>60</v>
      </c>
      <c r="G12" s="2" t="s">
        <v>41</v>
      </c>
      <c r="H12">
        <v>80</v>
      </c>
    </row>
    <row r="13" spans="1:22" x14ac:dyDescent="0.25">
      <c r="A13" s="2">
        <v>1</v>
      </c>
      <c r="B13" s="2" t="s">
        <v>11</v>
      </c>
      <c r="C13" s="2" t="s">
        <v>139</v>
      </c>
      <c r="D13" s="4" t="s">
        <v>30</v>
      </c>
      <c r="E13" s="2" t="s">
        <v>19</v>
      </c>
      <c r="F13" s="2" t="s">
        <v>60</v>
      </c>
      <c r="G13" s="2" t="s">
        <v>41</v>
      </c>
      <c r="H13">
        <v>45</v>
      </c>
      <c r="R13" s="5" t="s">
        <v>72</v>
      </c>
      <c r="S13" s="15">
        <v>18</v>
      </c>
      <c r="U13" s="5" t="s">
        <v>95</v>
      </c>
      <c r="V13" s="6">
        <v>24</v>
      </c>
    </row>
    <row r="14" spans="1:22" x14ac:dyDescent="0.25">
      <c r="A14" s="2">
        <v>1</v>
      </c>
      <c r="B14" s="2" t="s">
        <v>11</v>
      </c>
      <c r="C14" s="2" t="s">
        <v>140</v>
      </c>
      <c r="D14" s="4" t="s">
        <v>31</v>
      </c>
      <c r="E14" s="2" t="s">
        <v>19</v>
      </c>
      <c r="F14" s="2" t="s">
        <v>60</v>
      </c>
      <c r="G14" s="2" t="s">
        <v>41</v>
      </c>
      <c r="H14">
        <v>35</v>
      </c>
      <c r="R14" s="7" t="s">
        <v>76</v>
      </c>
      <c r="S14" s="17">
        <v>10</v>
      </c>
      <c r="U14" s="9" t="s">
        <v>96</v>
      </c>
      <c r="V14" s="22">
        <f>ROUNDUP(S13/V13,0)</f>
        <v>1</v>
      </c>
    </row>
    <row r="15" spans="1:22" x14ac:dyDescent="0.25">
      <c r="A15" s="2">
        <v>1</v>
      </c>
      <c r="B15" s="2" t="s">
        <v>11</v>
      </c>
      <c r="C15" s="2" t="s">
        <v>141</v>
      </c>
      <c r="D15" s="4" t="s">
        <v>32</v>
      </c>
      <c r="E15" s="2" t="s">
        <v>19</v>
      </c>
      <c r="F15" s="2" t="s">
        <v>60</v>
      </c>
      <c r="G15" s="2" t="s">
        <v>41</v>
      </c>
      <c r="H15">
        <v>45</v>
      </c>
      <c r="R15" s="7" t="s">
        <v>69</v>
      </c>
      <c r="S15" s="17">
        <f>S14 * S13</f>
        <v>180</v>
      </c>
    </row>
    <row r="16" spans="1:22" x14ac:dyDescent="0.25">
      <c r="A16" s="2">
        <v>1</v>
      </c>
      <c r="B16" s="2" t="s">
        <v>11</v>
      </c>
      <c r="C16" s="2" t="s">
        <v>146</v>
      </c>
      <c r="D16" s="4" t="s">
        <v>33</v>
      </c>
      <c r="E16" s="2" t="s">
        <v>19</v>
      </c>
      <c r="F16" s="2" t="s">
        <v>28</v>
      </c>
      <c r="G16" s="2" t="s">
        <v>42</v>
      </c>
      <c r="H16">
        <v>55</v>
      </c>
      <c r="I16" s="2" t="s">
        <v>86</v>
      </c>
      <c r="L16">
        <v>1</v>
      </c>
      <c r="R16" s="7" t="s">
        <v>67</v>
      </c>
      <c r="S16" s="18">
        <v>0.13500000000000001</v>
      </c>
    </row>
    <row r="17" spans="1:19" x14ac:dyDescent="0.25">
      <c r="A17" s="2">
        <v>1</v>
      </c>
      <c r="B17" s="2" t="s">
        <v>11</v>
      </c>
      <c r="C17" s="2" t="s">
        <v>142</v>
      </c>
      <c r="D17" s="4" t="s">
        <v>34</v>
      </c>
      <c r="E17" s="2" t="s">
        <v>19</v>
      </c>
      <c r="F17" s="2" t="s">
        <v>28</v>
      </c>
      <c r="G17" s="2" t="s">
        <v>43</v>
      </c>
      <c r="H17">
        <v>55</v>
      </c>
      <c r="I17" s="2" t="s">
        <v>85</v>
      </c>
      <c r="M17">
        <v>1</v>
      </c>
      <c r="R17" s="7" t="s">
        <v>68</v>
      </c>
      <c r="S17" s="17">
        <f>S15*S16</f>
        <v>24.3</v>
      </c>
    </row>
    <row r="18" spans="1:19" x14ac:dyDescent="0.25">
      <c r="A18" s="2">
        <v>1</v>
      </c>
      <c r="B18" s="2" t="s">
        <v>11</v>
      </c>
      <c r="C18" s="2" t="s">
        <v>147</v>
      </c>
      <c r="D18" s="4" t="s">
        <v>35</v>
      </c>
      <c r="E18" s="2" t="s">
        <v>19</v>
      </c>
      <c r="F18" s="2" t="s">
        <v>28</v>
      </c>
      <c r="G18" s="2" t="s">
        <v>43</v>
      </c>
      <c r="H18">
        <v>55</v>
      </c>
      <c r="I18" s="2" t="s">
        <v>86</v>
      </c>
      <c r="L18">
        <v>1</v>
      </c>
      <c r="R18" s="9" t="s">
        <v>70</v>
      </c>
      <c r="S18" s="19">
        <f>S15+S17</f>
        <v>204.3</v>
      </c>
    </row>
    <row r="19" spans="1:19" x14ac:dyDescent="0.25">
      <c r="A19" s="2">
        <v>1</v>
      </c>
      <c r="B19" s="2" t="s">
        <v>11</v>
      </c>
      <c r="C19" s="2" t="s">
        <v>143</v>
      </c>
      <c r="D19" s="4" t="s">
        <v>36</v>
      </c>
      <c r="E19" s="2" t="s">
        <v>19</v>
      </c>
      <c r="F19" s="2" t="s">
        <v>28</v>
      </c>
      <c r="G19" s="2" t="s">
        <v>43</v>
      </c>
      <c r="H19">
        <v>55</v>
      </c>
      <c r="I19" s="2"/>
    </row>
    <row r="20" spans="1:19" x14ac:dyDescent="0.25">
      <c r="A20" s="2">
        <v>1</v>
      </c>
      <c r="B20" s="2" t="s">
        <v>11</v>
      </c>
      <c r="C20" s="2" t="s">
        <v>144</v>
      </c>
      <c r="D20" s="4" t="s">
        <v>37</v>
      </c>
      <c r="E20" s="2" t="s">
        <v>19</v>
      </c>
      <c r="F20" s="2" t="s">
        <v>28</v>
      </c>
      <c r="G20" s="2" t="s">
        <v>43</v>
      </c>
      <c r="H20">
        <v>55</v>
      </c>
      <c r="I20" s="2"/>
      <c r="R20" s="5" t="s">
        <v>77</v>
      </c>
      <c r="S20" s="15">
        <f>$J$2</f>
        <v>3</v>
      </c>
    </row>
    <row r="21" spans="1:19" x14ac:dyDescent="0.25">
      <c r="A21" s="2">
        <v>1</v>
      </c>
      <c r="B21" s="2" t="s">
        <v>11</v>
      </c>
      <c r="C21" s="2" t="s">
        <v>145</v>
      </c>
      <c r="D21" s="4" t="s">
        <v>38</v>
      </c>
      <c r="E21" s="2" t="s">
        <v>19</v>
      </c>
      <c r="F21" s="2" t="s">
        <v>60</v>
      </c>
      <c r="G21" s="2" t="s">
        <v>41</v>
      </c>
      <c r="H21">
        <v>45</v>
      </c>
      <c r="R21" s="7" t="s">
        <v>78</v>
      </c>
      <c r="S21" s="16">
        <f>$K$2</f>
        <v>3</v>
      </c>
    </row>
    <row r="22" spans="1:19" x14ac:dyDescent="0.25">
      <c r="R22" s="7" t="s">
        <v>79</v>
      </c>
      <c r="S22" s="16">
        <f>$L$2</f>
        <v>2</v>
      </c>
    </row>
    <row r="23" spans="1:19" x14ac:dyDescent="0.25">
      <c r="R23" s="7" t="s">
        <v>82</v>
      </c>
      <c r="S23" s="16">
        <f>SUM(S20:S22)</f>
        <v>8</v>
      </c>
    </row>
    <row r="24" spans="1:19" x14ac:dyDescent="0.25">
      <c r="R24" s="7" t="s">
        <v>81</v>
      </c>
      <c r="S24" s="16">
        <v>24</v>
      </c>
    </row>
    <row r="25" spans="1:19" x14ac:dyDescent="0.25">
      <c r="R25" s="7" t="s">
        <v>83</v>
      </c>
      <c r="S25" s="16">
        <f>ROUNDUP(S23 / S24,0)</f>
        <v>1</v>
      </c>
    </row>
    <row r="26" spans="1:19" x14ac:dyDescent="0.25">
      <c r="R26" s="7" t="s">
        <v>84</v>
      </c>
      <c r="S26" s="17">
        <v>2000</v>
      </c>
    </row>
    <row r="27" spans="1:19" x14ac:dyDescent="0.25">
      <c r="R27" s="7" t="s">
        <v>69</v>
      </c>
      <c r="S27" s="17">
        <f>S26 * S25</f>
        <v>2000</v>
      </c>
    </row>
    <row r="28" spans="1:19" x14ac:dyDescent="0.25">
      <c r="R28" s="7" t="s">
        <v>67</v>
      </c>
      <c r="S28" s="18">
        <v>0.13500000000000001</v>
      </c>
    </row>
    <row r="29" spans="1:19" x14ac:dyDescent="0.25">
      <c r="R29" s="7" t="s">
        <v>68</v>
      </c>
      <c r="S29" s="17">
        <f>S27*S28</f>
        <v>270</v>
      </c>
    </row>
    <row r="30" spans="1:19" x14ac:dyDescent="0.25">
      <c r="R30" s="9" t="s">
        <v>70</v>
      </c>
      <c r="S30" s="19">
        <f>S27+S29</f>
        <v>2270</v>
      </c>
    </row>
  </sheetData>
  <mergeCells count="2"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F04C-8EF2-4B9A-B20A-5473B5C0FD89}">
  <dimension ref="A1:V37"/>
  <sheetViews>
    <sheetView tabSelected="1" workbookViewId="0">
      <pane ySplit="3" topLeftCell="A4" activePane="bottomLeft" state="frozen"/>
      <selection pane="bottomLeft" activeCell="D12" sqref="D12"/>
    </sheetView>
  </sheetViews>
  <sheetFormatPr defaultRowHeight="15" x14ac:dyDescent="0.25"/>
  <cols>
    <col min="3" max="3" width="12" customWidth="1"/>
    <col min="6" max="6" width="21.5703125" customWidth="1"/>
    <col min="7" max="7" width="18.140625" customWidth="1"/>
    <col min="18" max="18" width="19.7109375" customWidth="1"/>
    <col min="21" max="21" width="21.5703125" customWidth="1"/>
  </cols>
  <sheetData>
    <row r="1" spans="1:22" x14ac:dyDescent="0.25">
      <c r="A1" s="2"/>
      <c r="B1" s="2"/>
      <c r="C1" s="2"/>
      <c r="D1" s="3"/>
      <c r="E1" s="2"/>
      <c r="F1" s="2"/>
      <c r="J1" s="24" t="s">
        <v>80</v>
      </c>
      <c r="K1" s="24"/>
      <c r="L1" s="24"/>
      <c r="M1" s="24" t="s">
        <v>89</v>
      </c>
      <c r="N1" s="24"/>
      <c r="O1" s="24"/>
    </row>
    <row r="2" spans="1:22" x14ac:dyDescent="0.25">
      <c r="A2" s="2"/>
      <c r="B2" s="2"/>
      <c r="C2" s="2"/>
      <c r="D2" s="3"/>
      <c r="E2" s="2"/>
      <c r="F2" s="2"/>
      <c r="G2" s="10" t="s">
        <v>71</v>
      </c>
      <c r="H2">
        <f>SUM(H3:H100)</f>
        <v>2005</v>
      </c>
      <c r="J2">
        <f t="shared" ref="J2:O2" si="0">SUM(J4:J45)</f>
        <v>0</v>
      </c>
      <c r="K2">
        <f t="shared" si="0"/>
        <v>0</v>
      </c>
      <c r="L2">
        <f t="shared" si="0"/>
        <v>21</v>
      </c>
      <c r="M2">
        <f t="shared" si="0"/>
        <v>9</v>
      </c>
      <c r="N2">
        <f t="shared" si="0"/>
        <v>0</v>
      </c>
      <c r="O2">
        <f t="shared" si="0"/>
        <v>1</v>
      </c>
    </row>
    <row r="3" spans="1:22" x14ac:dyDescent="0.25">
      <c r="A3" s="11" t="s">
        <v>13</v>
      </c>
      <c r="B3" s="11" t="s">
        <v>14</v>
      </c>
      <c r="C3" s="11" t="s">
        <v>148</v>
      </c>
      <c r="D3" s="12" t="s">
        <v>15</v>
      </c>
      <c r="E3" s="11" t="s">
        <v>18</v>
      </c>
      <c r="F3" s="11" t="s">
        <v>26</v>
      </c>
      <c r="G3" s="11" t="s">
        <v>39</v>
      </c>
      <c r="H3" s="11" t="s">
        <v>62</v>
      </c>
      <c r="I3" s="11" t="s">
        <v>73</v>
      </c>
      <c r="J3" s="14">
        <v>10</v>
      </c>
      <c r="K3" s="14">
        <v>100</v>
      </c>
      <c r="L3" s="14">
        <v>1000</v>
      </c>
      <c r="M3" s="14" t="s">
        <v>90</v>
      </c>
      <c r="N3" s="14" t="s">
        <v>91</v>
      </c>
      <c r="O3" s="14" t="s">
        <v>92</v>
      </c>
      <c r="P3" s="13"/>
      <c r="Q3" s="13"/>
      <c r="R3" s="13"/>
      <c r="S3" s="13"/>
    </row>
    <row r="4" spans="1:22" x14ac:dyDescent="0.25">
      <c r="A4" s="2">
        <v>1</v>
      </c>
      <c r="B4" s="2" t="s">
        <v>12</v>
      </c>
      <c r="C4" s="2" t="s">
        <v>149</v>
      </c>
      <c r="D4" s="4" t="s">
        <v>16</v>
      </c>
      <c r="E4" s="2" t="s">
        <v>19</v>
      </c>
      <c r="F4" s="2" t="s">
        <v>60</v>
      </c>
      <c r="G4" s="2" t="s">
        <v>41</v>
      </c>
      <c r="H4">
        <v>35</v>
      </c>
      <c r="L4">
        <v>1</v>
      </c>
      <c r="R4" s="7" t="s">
        <v>63</v>
      </c>
      <c r="S4" s="16">
        <f>Total_CAT6_Length</f>
        <v>1080</v>
      </c>
    </row>
    <row r="5" spans="1:22" x14ac:dyDescent="0.25">
      <c r="A5" s="2">
        <v>1</v>
      </c>
      <c r="B5" s="2" t="s">
        <v>12</v>
      </c>
      <c r="C5" s="2" t="s">
        <v>150</v>
      </c>
      <c r="D5" s="4" t="s">
        <v>17</v>
      </c>
      <c r="E5" s="2" t="s">
        <v>19</v>
      </c>
      <c r="F5" s="2" t="s">
        <v>60</v>
      </c>
      <c r="G5" s="2" t="s">
        <v>41</v>
      </c>
      <c r="H5">
        <v>45</v>
      </c>
      <c r="L5">
        <v>1</v>
      </c>
      <c r="R5" s="7" t="s">
        <v>64</v>
      </c>
      <c r="S5" s="16">
        <v>300</v>
      </c>
    </row>
    <row r="6" spans="1:22" x14ac:dyDescent="0.25">
      <c r="A6" s="2">
        <v>1</v>
      </c>
      <c r="B6" s="2" t="s">
        <v>12</v>
      </c>
      <c r="C6" s="2" t="s">
        <v>151</v>
      </c>
      <c r="D6" s="4" t="s">
        <v>21</v>
      </c>
      <c r="E6" s="2" t="s">
        <v>19</v>
      </c>
      <c r="F6" s="2" t="s">
        <v>60</v>
      </c>
      <c r="G6" s="2" t="s">
        <v>41</v>
      </c>
      <c r="H6">
        <v>55</v>
      </c>
      <c r="L6">
        <v>1</v>
      </c>
      <c r="R6" s="7" t="s">
        <v>65</v>
      </c>
      <c r="S6" s="16">
        <f>ROUNDUP(S4 / S5, 0)</f>
        <v>4</v>
      </c>
    </row>
    <row r="7" spans="1:22" x14ac:dyDescent="0.25">
      <c r="A7" s="2">
        <v>1</v>
      </c>
      <c r="B7" s="2" t="s">
        <v>12</v>
      </c>
      <c r="C7" s="2" t="s">
        <v>152</v>
      </c>
      <c r="D7" s="4" t="s">
        <v>22</v>
      </c>
      <c r="E7" s="2" t="s">
        <v>19</v>
      </c>
      <c r="F7" s="2" t="s">
        <v>60</v>
      </c>
      <c r="G7" s="2" t="s">
        <v>41</v>
      </c>
      <c r="H7">
        <v>75</v>
      </c>
      <c r="L7">
        <v>1</v>
      </c>
      <c r="R7" s="7" t="s">
        <v>66</v>
      </c>
      <c r="S7" s="16">
        <v>48</v>
      </c>
    </row>
    <row r="8" spans="1:22" x14ac:dyDescent="0.25">
      <c r="A8" s="2">
        <v>1</v>
      </c>
      <c r="B8" s="2" t="s">
        <v>12</v>
      </c>
      <c r="C8" s="2" t="s">
        <v>153</v>
      </c>
      <c r="D8" s="4" t="s">
        <v>23</v>
      </c>
      <c r="E8" s="2" t="s">
        <v>19</v>
      </c>
      <c r="F8" s="2" t="s">
        <v>60</v>
      </c>
      <c r="G8" s="2" t="s">
        <v>41</v>
      </c>
      <c r="H8">
        <v>50</v>
      </c>
      <c r="L8">
        <v>1</v>
      </c>
      <c r="R8" s="7" t="s">
        <v>69</v>
      </c>
      <c r="S8" s="17">
        <f>S7 * S6</f>
        <v>192</v>
      </c>
    </row>
    <row r="9" spans="1:22" x14ac:dyDescent="0.25">
      <c r="A9" s="2">
        <v>1</v>
      </c>
      <c r="B9" s="2" t="s">
        <v>12</v>
      </c>
      <c r="C9" s="2" t="s">
        <v>154</v>
      </c>
      <c r="D9" s="4" t="s">
        <v>24</v>
      </c>
      <c r="E9" s="2" t="s">
        <v>19</v>
      </c>
      <c r="F9" s="2" t="s">
        <v>59</v>
      </c>
      <c r="G9" s="2" t="s">
        <v>40</v>
      </c>
      <c r="H9">
        <v>15</v>
      </c>
      <c r="L9">
        <v>1</v>
      </c>
      <c r="R9" s="7" t="s">
        <v>67</v>
      </c>
      <c r="S9" s="18">
        <v>0.13500000000000001</v>
      </c>
    </row>
    <row r="10" spans="1:22" x14ac:dyDescent="0.25">
      <c r="A10" s="2">
        <v>1</v>
      </c>
      <c r="B10" s="2" t="s">
        <v>12</v>
      </c>
      <c r="C10" s="2" t="s">
        <v>155</v>
      </c>
      <c r="D10" s="4" t="s">
        <v>25</v>
      </c>
      <c r="E10" s="2" t="s">
        <v>19</v>
      </c>
      <c r="F10" s="2" t="s">
        <v>61</v>
      </c>
      <c r="G10" s="2" t="s">
        <v>11</v>
      </c>
      <c r="H10">
        <v>55</v>
      </c>
      <c r="I10" s="2" t="s">
        <v>85</v>
      </c>
      <c r="M10">
        <v>1</v>
      </c>
      <c r="R10" s="7" t="s">
        <v>68</v>
      </c>
      <c r="S10" s="17">
        <f>S8*S9</f>
        <v>25.92</v>
      </c>
    </row>
    <row r="11" spans="1:22" x14ac:dyDescent="0.25">
      <c r="A11" s="2">
        <v>1</v>
      </c>
      <c r="B11" s="2" t="s">
        <v>12</v>
      </c>
      <c r="C11" s="2" t="s">
        <v>156</v>
      </c>
      <c r="D11" s="4" t="s">
        <v>27</v>
      </c>
      <c r="E11" s="2" t="s">
        <v>19</v>
      </c>
      <c r="F11" s="2" t="s">
        <v>61</v>
      </c>
      <c r="G11" s="2" t="s">
        <v>11</v>
      </c>
      <c r="H11">
        <v>55</v>
      </c>
      <c r="I11" s="2" t="s">
        <v>86</v>
      </c>
      <c r="L11">
        <v>1</v>
      </c>
      <c r="R11" s="9" t="s">
        <v>70</v>
      </c>
      <c r="S11" s="19">
        <f>S8+S10</f>
        <v>217.92000000000002</v>
      </c>
    </row>
    <row r="12" spans="1:22" x14ac:dyDescent="0.25">
      <c r="A12" s="2">
        <v>1</v>
      </c>
      <c r="B12" s="2" t="s">
        <v>12</v>
      </c>
      <c r="C12" s="2" t="s">
        <v>157</v>
      </c>
      <c r="D12" s="4" t="s">
        <v>29</v>
      </c>
      <c r="E12" s="2" t="s">
        <v>19</v>
      </c>
      <c r="F12" s="2" t="s">
        <v>61</v>
      </c>
      <c r="G12" s="2" t="s">
        <v>11</v>
      </c>
      <c r="H12">
        <v>55</v>
      </c>
      <c r="I12" s="2" t="s">
        <v>85</v>
      </c>
      <c r="M12">
        <v>1</v>
      </c>
    </row>
    <row r="13" spans="1:22" x14ac:dyDescent="0.25">
      <c r="A13" s="2">
        <v>1</v>
      </c>
      <c r="B13" s="2" t="s">
        <v>12</v>
      </c>
      <c r="C13" s="2" t="s">
        <v>158</v>
      </c>
      <c r="D13" s="4" t="s">
        <v>30</v>
      </c>
      <c r="E13" s="2" t="s">
        <v>19</v>
      </c>
      <c r="F13" s="2" t="s">
        <v>61</v>
      </c>
      <c r="G13" s="2" t="s">
        <v>11</v>
      </c>
      <c r="H13">
        <v>55</v>
      </c>
      <c r="I13" s="2" t="s">
        <v>86</v>
      </c>
      <c r="L13">
        <v>1</v>
      </c>
      <c r="R13" s="5" t="s">
        <v>72</v>
      </c>
      <c r="S13" s="15">
        <v>33</v>
      </c>
      <c r="U13" s="5" t="s">
        <v>95</v>
      </c>
      <c r="V13" s="6">
        <v>24</v>
      </c>
    </row>
    <row r="14" spans="1:22" x14ac:dyDescent="0.25">
      <c r="A14" s="2">
        <v>1</v>
      </c>
      <c r="B14" s="2" t="s">
        <v>12</v>
      </c>
      <c r="C14" s="2" t="s">
        <v>159</v>
      </c>
      <c r="D14" s="4" t="s">
        <v>31</v>
      </c>
      <c r="E14" s="2" t="s">
        <v>19</v>
      </c>
      <c r="F14" s="2" t="s">
        <v>61</v>
      </c>
      <c r="G14" s="2" t="s">
        <v>11</v>
      </c>
      <c r="H14">
        <v>55</v>
      </c>
      <c r="I14" s="2" t="s">
        <v>85</v>
      </c>
      <c r="M14">
        <v>1</v>
      </c>
      <c r="R14" s="7" t="s">
        <v>76</v>
      </c>
      <c r="S14" s="17">
        <v>10</v>
      </c>
      <c r="U14" s="9" t="s">
        <v>96</v>
      </c>
      <c r="V14" s="22">
        <f>ROUNDUP(S13/V13,0)</f>
        <v>2</v>
      </c>
    </row>
    <row r="15" spans="1:22" x14ac:dyDescent="0.25">
      <c r="A15" s="2">
        <v>1</v>
      </c>
      <c r="B15" s="2" t="s">
        <v>12</v>
      </c>
      <c r="C15" s="2" t="s">
        <v>160</v>
      </c>
      <c r="D15" s="4" t="s">
        <v>32</v>
      </c>
      <c r="E15" s="2" t="s">
        <v>19</v>
      </c>
      <c r="F15" s="2" t="s">
        <v>61</v>
      </c>
      <c r="G15" s="2" t="s">
        <v>11</v>
      </c>
      <c r="H15">
        <v>55</v>
      </c>
      <c r="I15" s="2" t="s">
        <v>86</v>
      </c>
      <c r="L15">
        <v>1</v>
      </c>
      <c r="R15" s="7" t="s">
        <v>69</v>
      </c>
      <c r="S15" s="17">
        <f>S14 * S13</f>
        <v>330</v>
      </c>
    </row>
    <row r="16" spans="1:22" x14ac:dyDescent="0.25">
      <c r="A16" s="2">
        <v>1</v>
      </c>
      <c r="B16" s="2" t="s">
        <v>12</v>
      </c>
      <c r="C16" s="2" t="s">
        <v>161</v>
      </c>
      <c r="D16" s="4" t="s">
        <v>33</v>
      </c>
      <c r="E16" s="2" t="s">
        <v>19</v>
      </c>
      <c r="F16" s="2" t="s">
        <v>61</v>
      </c>
      <c r="G16" s="2" t="s">
        <v>11</v>
      </c>
      <c r="H16">
        <v>55</v>
      </c>
      <c r="I16" s="2" t="s">
        <v>85</v>
      </c>
      <c r="M16">
        <v>1</v>
      </c>
      <c r="R16" s="7" t="s">
        <v>67</v>
      </c>
      <c r="S16" s="18">
        <v>0.13500000000000001</v>
      </c>
    </row>
    <row r="17" spans="1:19" x14ac:dyDescent="0.25">
      <c r="A17" s="2">
        <v>1</v>
      </c>
      <c r="B17" s="2" t="s">
        <v>12</v>
      </c>
      <c r="C17" s="2" t="s">
        <v>162</v>
      </c>
      <c r="D17" s="4" t="s">
        <v>34</v>
      </c>
      <c r="E17" s="2" t="s">
        <v>19</v>
      </c>
      <c r="F17" s="2" t="s">
        <v>61</v>
      </c>
      <c r="G17" s="2" t="s">
        <v>11</v>
      </c>
      <c r="H17">
        <v>55</v>
      </c>
      <c r="I17" s="2" t="s">
        <v>86</v>
      </c>
      <c r="L17">
        <v>1</v>
      </c>
      <c r="R17" s="7" t="s">
        <v>68</v>
      </c>
      <c r="S17" s="17">
        <f>S15*S16</f>
        <v>44.550000000000004</v>
      </c>
    </row>
    <row r="18" spans="1:19" x14ac:dyDescent="0.25">
      <c r="A18" s="2">
        <v>1</v>
      </c>
      <c r="B18" s="2" t="s">
        <v>12</v>
      </c>
      <c r="C18" s="2" t="s">
        <v>163</v>
      </c>
      <c r="D18" s="4" t="s">
        <v>35</v>
      </c>
      <c r="E18" s="2" t="s">
        <v>19</v>
      </c>
      <c r="F18" s="2" t="s">
        <v>61</v>
      </c>
      <c r="G18" s="2" t="s">
        <v>11</v>
      </c>
      <c r="H18">
        <v>55</v>
      </c>
      <c r="I18" s="2" t="s">
        <v>85</v>
      </c>
      <c r="M18">
        <v>1</v>
      </c>
      <c r="R18" s="9" t="s">
        <v>70</v>
      </c>
      <c r="S18" s="19">
        <f>S15+S17</f>
        <v>374.55</v>
      </c>
    </row>
    <row r="19" spans="1:19" x14ac:dyDescent="0.25">
      <c r="A19" s="2">
        <v>1</v>
      </c>
      <c r="B19" s="2" t="s">
        <v>12</v>
      </c>
      <c r="C19" s="2" t="s">
        <v>164</v>
      </c>
      <c r="D19" s="4" t="s">
        <v>36</v>
      </c>
      <c r="E19" s="2" t="s">
        <v>19</v>
      </c>
      <c r="F19" s="2" t="s">
        <v>61</v>
      </c>
      <c r="G19" s="2" t="s">
        <v>11</v>
      </c>
      <c r="H19">
        <v>55</v>
      </c>
      <c r="I19" s="2" t="s">
        <v>86</v>
      </c>
      <c r="L19">
        <v>1</v>
      </c>
    </row>
    <row r="20" spans="1:19" x14ac:dyDescent="0.25">
      <c r="A20" s="2">
        <v>1</v>
      </c>
      <c r="B20" s="2" t="s">
        <v>12</v>
      </c>
      <c r="C20" s="2" t="s">
        <v>165</v>
      </c>
      <c r="D20" s="4" t="s">
        <v>37</v>
      </c>
      <c r="E20" s="2" t="s">
        <v>19</v>
      </c>
      <c r="F20" s="2" t="s">
        <v>61</v>
      </c>
      <c r="G20" s="2" t="s">
        <v>11</v>
      </c>
      <c r="H20">
        <v>55</v>
      </c>
      <c r="I20" s="2" t="s">
        <v>85</v>
      </c>
      <c r="M20">
        <v>1</v>
      </c>
      <c r="R20" s="5" t="s">
        <v>77</v>
      </c>
      <c r="S20" s="15">
        <f>$J$2</f>
        <v>0</v>
      </c>
    </row>
    <row r="21" spans="1:19" x14ac:dyDescent="0.25">
      <c r="A21" s="2">
        <v>1</v>
      </c>
      <c r="B21" s="2" t="s">
        <v>12</v>
      </c>
      <c r="C21" s="2" t="s">
        <v>166</v>
      </c>
      <c r="D21" s="4" t="s">
        <v>38</v>
      </c>
      <c r="E21" s="2" t="s">
        <v>19</v>
      </c>
      <c r="F21" s="2" t="s">
        <v>61</v>
      </c>
      <c r="G21" s="2" t="s">
        <v>11</v>
      </c>
      <c r="H21">
        <v>55</v>
      </c>
      <c r="I21" s="2" t="s">
        <v>86</v>
      </c>
      <c r="L21">
        <v>1</v>
      </c>
      <c r="R21" s="7" t="s">
        <v>78</v>
      </c>
      <c r="S21" s="16">
        <f>$K$2</f>
        <v>0</v>
      </c>
    </row>
    <row r="22" spans="1:19" x14ac:dyDescent="0.25">
      <c r="A22" s="2">
        <v>1</v>
      </c>
      <c r="B22" s="2" t="s">
        <v>12</v>
      </c>
      <c r="C22" s="2" t="s">
        <v>167</v>
      </c>
      <c r="D22" s="4" t="s">
        <v>44</v>
      </c>
      <c r="E22" s="2" t="s">
        <v>19</v>
      </c>
      <c r="F22" s="2" t="s">
        <v>61</v>
      </c>
      <c r="G22" s="2" t="s">
        <v>11</v>
      </c>
      <c r="H22">
        <v>55</v>
      </c>
      <c r="I22" s="2" t="s">
        <v>85</v>
      </c>
      <c r="M22">
        <v>1</v>
      </c>
      <c r="R22" s="7" t="s">
        <v>79</v>
      </c>
      <c r="S22" s="16">
        <f>$L$2</f>
        <v>21</v>
      </c>
    </row>
    <row r="23" spans="1:19" x14ac:dyDescent="0.25">
      <c r="A23" s="2">
        <v>1</v>
      </c>
      <c r="B23" s="2" t="s">
        <v>12</v>
      </c>
      <c r="C23" s="2" t="s">
        <v>168</v>
      </c>
      <c r="D23" s="4" t="s">
        <v>45</v>
      </c>
      <c r="E23" s="2" t="s">
        <v>19</v>
      </c>
      <c r="F23" s="2" t="s">
        <v>61</v>
      </c>
      <c r="G23" s="2" t="s">
        <v>11</v>
      </c>
      <c r="H23">
        <v>55</v>
      </c>
      <c r="I23" s="2" t="s">
        <v>86</v>
      </c>
      <c r="L23">
        <v>1</v>
      </c>
      <c r="R23" s="7" t="s">
        <v>82</v>
      </c>
      <c r="S23" s="16">
        <f>SUM(S20:S22)</f>
        <v>21</v>
      </c>
    </row>
    <row r="24" spans="1:19" x14ac:dyDescent="0.25">
      <c r="A24" s="2">
        <v>1</v>
      </c>
      <c r="B24" s="2" t="s">
        <v>12</v>
      </c>
      <c r="C24" s="2" t="s">
        <v>169</v>
      </c>
      <c r="D24" s="4" t="s">
        <v>46</v>
      </c>
      <c r="E24" s="2" t="s">
        <v>19</v>
      </c>
      <c r="F24" s="2" t="s">
        <v>61</v>
      </c>
      <c r="G24" s="2" t="s">
        <v>11</v>
      </c>
      <c r="H24">
        <v>55</v>
      </c>
      <c r="I24" s="2" t="s">
        <v>85</v>
      </c>
      <c r="M24">
        <v>1</v>
      </c>
      <c r="R24" s="7" t="s">
        <v>81</v>
      </c>
      <c r="S24" s="16">
        <v>24</v>
      </c>
    </row>
    <row r="25" spans="1:19" x14ac:dyDescent="0.25">
      <c r="A25" s="2">
        <v>1</v>
      </c>
      <c r="B25" s="2" t="s">
        <v>12</v>
      </c>
      <c r="C25" s="2" t="s">
        <v>170</v>
      </c>
      <c r="D25" s="4" t="s">
        <v>47</v>
      </c>
      <c r="E25" s="2" t="s">
        <v>19</v>
      </c>
      <c r="F25" s="2" t="s">
        <v>61</v>
      </c>
      <c r="G25" s="2" t="s">
        <v>11</v>
      </c>
      <c r="H25">
        <v>55</v>
      </c>
      <c r="I25" s="2" t="s">
        <v>86</v>
      </c>
      <c r="L25">
        <v>1</v>
      </c>
      <c r="R25" s="7" t="s">
        <v>83</v>
      </c>
      <c r="S25" s="16">
        <f>ROUNDUP(S23 / S24,0)</f>
        <v>1</v>
      </c>
    </row>
    <row r="26" spans="1:19" x14ac:dyDescent="0.25">
      <c r="A26" s="2">
        <v>1</v>
      </c>
      <c r="B26" s="2" t="s">
        <v>12</v>
      </c>
      <c r="C26" s="2" t="s">
        <v>171</v>
      </c>
      <c r="D26" s="4" t="s">
        <v>48</v>
      </c>
      <c r="E26" s="2" t="s">
        <v>19</v>
      </c>
      <c r="F26" s="2" t="s">
        <v>61</v>
      </c>
      <c r="G26" s="2" t="s">
        <v>11</v>
      </c>
      <c r="H26">
        <v>55</v>
      </c>
      <c r="I26" s="2" t="s">
        <v>87</v>
      </c>
      <c r="O26">
        <v>1</v>
      </c>
      <c r="R26" s="7" t="s">
        <v>84</v>
      </c>
      <c r="S26" s="17">
        <v>2000</v>
      </c>
    </row>
    <row r="27" spans="1:19" x14ac:dyDescent="0.25">
      <c r="A27" s="2">
        <v>1</v>
      </c>
      <c r="B27" s="2" t="s">
        <v>12</v>
      </c>
      <c r="C27" s="2" t="s">
        <v>172</v>
      </c>
      <c r="D27" s="4" t="s">
        <v>49</v>
      </c>
      <c r="E27" s="2" t="s">
        <v>19</v>
      </c>
      <c r="F27" s="2" t="s">
        <v>61</v>
      </c>
      <c r="G27" s="2" t="s">
        <v>11</v>
      </c>
      <c r="H27">
        <v>55</v>
      </c>
      <c r="I27" s="2" t="s">
        <v>88</v>
      </c>
      <c r="L27">
        <v>1</v>
      </c>
      <c r="R27" s="7" t="s">
        <v>69</v>
      </c>
      <c r="S27" s="17">
        <f>S26 * S25</f>
        <v>2000</v>
      </c>
    </row>
    <row r="28" spans="1:19" x14ac:dyDescent="0.25">
      <c r="A28" s="2">
        <v>1</v>
      </c>
      <c r="B28" s="2" t="s">
        <v>12</v>
      </c>
      <c r="C28" s="2" t="s">
        <v>173</v>
      </c>
      <c r="D28" s="4" t="s">
        <v>50</v>
      </c>
      <c r="E28" s="2" t="s">
        <v>19</v>
      </c>
      <c r="F28" s="2" t="s">
        <v>61</v>
      </c>
      <c r="G28" s="2" t="s">
        <v>11</v>
      </c>
      <c r="H28">
        <v>55</v>
      </c>
      <c r="I28" s="2" t="s">
        <v>86</v>
      </c>
      <c r="L28">
        <v>1</v>
      </c>
      <c r="R28" s="7" t="s">
        <v>67</v>
      </c>
      <c r="S28" s="18">
        <v>0.13500000000000001</v>
      </c>
    </row>
    <row r="29" spans="1:19" x14ac:dyDescent="0.25">
      <c r="A29" s="2">
        <v>1</v>
      </c>
      <c r="B29" s="2" t="s">
        <v>12</v>
      </c>
      <c r="C29" s="2" t="s">
        <v>174</v>
      </c>
      <c r="D29" s="4" t="s">
        <v>51</v>
      </c>
      <c r="E29" s="2" t="s">
        <v>19</v>
      </c>
      <c r="F29" s="2" t="s">
        <v>61</v>
      </c>
      <c r="G29" s="2" t="s">
        <v>11</v>
      </c>
      <c r="H29">
        <v>55</v>
      </c>
      <c r="I29" s="2" t="s">
        <v>85</v>
      </c>
      <c r="M29">
        <v>1</v>
      </c>
      <c r="R29" s="7" t="s">
        <v>68</v>
      </c>
      <c r="S29" s="17">
        <f>S27*S28</f>
        <v>270</v>
      </c>
    </row>
    <row r="30" spans="1:19" x14ac:dyDescent="0.25">
      <c r="A30" s="2">
        <v>1</v>
      </c>
      <c r="B30" s="2" t="s">
        <v>12</v>
      </c>
      <c r="C30" s="2" t="s">
        <v>175</v>
      </c>
      <c r="D30" s="4" t="s">
        <v>52</v>
      </c>
      <c r="E30" s="2" t="s">
        <v>19</v>
      </c>
      <c r="F30" s="2" t="s">
        <v>93</v>
      </c>
      <c r="G30" s="2" t="s">
        <v>11</v>
      </c>
      <c r="H30">
        <v>90</v>
      </c>
      <c r="L30">
        <v>1</v>
      </c>
      <c r="R30" s="9" t="s">
        <v>70</v>
      </c>
      <c r="S30" s="19">
        <f>S27+S29</f>
        <v>2270</v>
      </c>
    </row>
    <row r="31" spans="1:19" x14ac:dyDescent="0.25">
      <c r="A31" s="2">
        <v>1</v>
      </c>
      <c r="B31" s="2" t="s">
        <v>12</v>
      </c>
      <c r="C31" s="2" t="s">
        <v>176</v>
      </c>
      <c r="D31" s="4" t="s">
        <v>53</v>
      </c>
      <c r="E31" s="2" t="s">
        <v>19</v>
      </c>
      <c r="F31" s="2" t="s">
        <v>94</v>
      </c>
      <c r="G31" s="2" t="s">
        <v>11</v>
      </c>
      <c r="H31">
        <v>90</v>
      </c>
      <c r="L31">
        <v>1</v>
      </c>
    </row>
    <row r="32" spans="1:19" x14ac:dyDescent="0.25">
      <c r="A32" s="2">
        <v>1</v>
      </c>
      <c r="B32" s="2" t="s">
        <v>12</v>
      </c>
      <c r="C32" s="2" t="s">
        <v>177</v>
      </c>
      <c r="D32" s="4" t="s">
        <v>54</v>
      </c>
      <c r="E32" s="2" t="s">
        <v>19</v>
      </c>
      <c r="F32" s="2" t="s">
        <v>128</v>
      </c>
      <c r="G32" s="2" t="s">
        <v>40</v>
      </c>
      <c r="H32">
        <v>90</v>
      </c>
      <c r="L32">
        <v>1</v>
      </c>
    </row>
    <row r="33" spans="1:12" x14ac:dyDescent="0.25">
      <c r="A33" s="2">
        <v>1</v>
      </c>
      <c r="B33" s="2" t="s">
        <v>12</v>
      </c>
      <c r="C33" s="2" t="s">
        <v>178</v>
      </c>
      <c r="D33" s="4" t="s">
        <v>55</v>
      </c>
      <c r="E33" s="2" t="s">
        <v>19</v>
      </c>
      <c r="F33" s="2" t="s">
        <v>114</v>
      </c>
      <c r="G33" s="2" t="s">
        <v>41</v>
      </c>
      <c r="H33">
        <v>90</v>
      </c>
      <c r="L33">
        <v>1</v>
      </c>
    </row>
    <row r="34" spans="1:12" x14ac:dyDescent="0.25">
      <c r="A34" s="2">
        <v>1</v>
      </c>
      <c r="B34" s="2" t="s">
        <v>12</v>
      </c>
      <c r="C34" s="2" t="s">
        <v>179</v>
      </c>
      <c r="D34" s="4" t="s">
        <v>56</v>
      </c>
      <c r="E34" s="2" t="s">
        <v>19</v>
      </c>
      <c r="F34" s="2" t="s">
        <v>114</v>
      </c>
      <c r="G34" s="2" t="s">
        <v>41</v>
      </c>
      <c r="H34">
        <v>90</v>
      </c>
      <c r="L34">
        <v>1</v>
      </c>
    </row>
    <row r="35" spans="1:12" x14ac:dyDescent="0.25">
      <c r="A35" s="2">
        <v>1</v>
      </c>
      <c r="B35" s="2" t="s">
        <v>12</v>
      </c>
      <c r="C35" s="2" t="s">
        <v>180</v>
      </c>
      <c r="D35" s="4" t="s">
        <v>57</v>
      </c>
      <c r="E35" s="2" t="s">
        <v>19</v>
      </c>
      <c r="F35" s="2" t="s">
        <v>114</v>
      </c>
      <c r="G35" s="2" t="s">
        <v>41</v>
      </c>
      <c r="H35">
        <v>90</v>
      </c>
    </row>
    <row r="36" spans="1:12" x14ac:dyDescent="0.25">
      <c r="A36" s="2">
        <v>1</v>
      </c>
      <c r="B36" s="2" t="s">
        <v>12</v>
      </c>
      <c r="C36" s="2" t="s">
        <v>181</v>
      </c>
      <c r="D36" s="4" t="s">
        <v>58</v>
      </c>
      <c r="E36" s="2" t="s">
        <v>19</v>
      </c>
      <c r="F36" s="2" t="s">
        <v>114</v>
      </c>
      <c r="G36" s="2" t="s">
        <v>41</v>
      </c>
      <c r="H36">
        <v>90</v>
      </c>
    </row>
    <row r="37" spans="1:12" x14ac:dyDescent="0.25">
      <c r="F37" s="2"/>
    </row>
  </sheetData>
  <mergeCells count="2">
    <mergeCell ref="J1:L1"/>
    <mergeCell ref="M1:O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EA7D-2681-4E11-B838-DF4DD6CFA41D}">
  <dimension ref="A1:U35"/>
  <sheetViews>
    <sheetView workbookViewId="0">
      <selection activeCell="B14" sqref="B14"/>
    </sheetView>
  </sheetViews>
  <sheetFormatPr defaultRowHeight="15" x14ac:dyDescent="0.25"/>
  <cols>
    <col min="1" max="2" width="40.85546875" customWidth="1"/>
    <col min="4" max="4" width="26.7109375" customWidth="1"/>
    <col min="5" max="5" width="15.85546875" customWidth="1"/>
    <col min="6" max="6" width="11.140625" customWidth="1"/>
    <col min="7" max="7" width="7.140625" customWidth="1"/>
    <col min="8" max="8" width="21.7109375" customWidth="1"/>
    <col min="17" max="17" width="15.7109375" customWidth="1"/>
    <col min="20" max="20" width="20.28515625" customWidth="1"/>
  </cols>
  <sheetData>
    <row r="1" spans="1:21" x14ac:dyDescent="0.25">
      <c r="A1" s="2"/>
      <c r="B1" s="2"/>
      <c r="C1" s="3"/>
      <c r="D1" s="10" t="s">
        <v>113</v>
      </c>
      <c r="E1">
        <f>SUM(G6:G98)</f>
        <v>20</v>
      </c>
      <c r="I1" s="24" t="s">
        <v>80</v>
      </c>
      <c r="J1" s="24"/>
      <c r="K1" s="24"/>
      <c r="L1" s="24" t="s">
        <v>89</v>
      </c>
      <c r="M1" s="24"/>
      <c r="N1" s="24"/>
    </row>
    <row r="2" spans="1:21" x14ac:dyDescent="0.25">
      <c r="A2" s="2"/>
      <c r="B2" s="2"/>
      <c r="C2" s="3"/>
      <c r="D2" s="10" t="s">
        <v>112</v>
      </c>
      <c r="E2">
        <f>SUM(G4:G100)</f>
        <v>420</v>
      </c>
      <c r="I2">
        <f t="shared" ref="I2:N2" si="0">SUM(I4:I45)</f>
        <v>0</v>
      </c>
      <c r="J2">
        <f t="shared" si="0"/>
        <v>0</v>
      </c>
      <c r="K2">
        <f t="shared" si="0"/>
        <v>4</v>
      </c>
      <c r="L2">
        <f t="shared" si="0"/>
        <v>0</v>
      </c>
      <c r="M2">
        <f t="shared" si="0"/>
        <v>0</v>
      </c>
      <c r="N2">
        <f t="shared" si="0"/>
        <v>0</v>
      </c>
    </row>
    <row r="3" spans="1:21" x14ac:dyDescent="0.25">
      <c r="A3" s="11" t="s">
        <v>13</v>
      </c>
      <c r="B3" s="11" t="s">
        <v>148</v>
      </c>
      <c r="C3" s="12" t="s">
        <v>15</v>
      </c>
      <c r="D3" s="11" t="s">
        <v>18</v>
      </c>
      <c r="E3" s="11" t="s">
        <v>26</v>
      </c>
      <c r="F3" s="11" t="s">
        <v>39</v>
      </c>
      <c r="G3" s="11" t="s">
        <v>62</v>
      </c>
      <c r="H3" s="11" t="s">
        <v>73</v>
      </c>
      <c r="I3" s="14">
        <v>10</v>
      </c>
      <c r="J3" s="14">
        <v>100</v>
      </c>
      <c r="K3" s="14">
        <v>1000</v>
      </c>
      <c r="L3" s="14" t="s">
        <v>90</v>
      </c>
      <c r="M3" s="14" t="s">
        <v>91</v>
      </c>
      <c r="N3" s="14" t="s">
        <v>92</v>
      </c>
      <c r="O3" s="13"/>
      <c r="P3" s="13"/>
      <c r="Q3" s="13"/>
      <c r="R3" s="13"/>
    </row>
    <row r="4" spans="1:21" x14ac:dyDescent="0.25">
      <c r="A4" s="2">
        <v>1</v>
      </c>
      <c r="B4" s="2" t="s">
        <v>182</v>
      </c>
      <c r="C4" s="4" t="s">
        <v>16</v>
      </c>
      <c r="D4" s="2" t="s">
        <v>106</v>
      </c>
      <c r="E4" s="2" t="s">
        <v>107</v>
      </c>
      <c r="F4" s="2" t="s">
        <v>111</v>
      </c>
      <c r="G4">
        <v>200</v>
      </c>
      <c r="H4" s="2" t="s">
        <v>123</v>
      </c>
      <c r="K4">
        <v>1</v>
      </c>
      <c r="Q4" s="7" t="s">
        <v>115</v>
      </c>
      <c r="R4" s="16">
        <f>E2</f>
        <v>420</v>
      </c>
    </row>
    <row r="5" spans="1:21" x14ac:dyDescent="0.25">
      <c r="A5" s="2">
        <v>1</v>
      </c>
      <c r="B5" s="2" t="s">
        <v>183</v>
      </c>
      <c r="C5" s="4" t="s">
        <v>17</v>
      </c>
      <c r="D5" s="2" t="s">
        <v>106</v>
      </c>
      <c r="E5" s="2" t="s">
        <v>110</v>
      </c>
      <c r="F5" s="2" t="s">
        <v>111</v>
      </c>
      <c r="G5">
        <v>200</v>
      </c>
      <c r="H5" s="2" t="s">
        <v>123</v>
      </c>
      <c r="K5">
        <v>1</v>
      </c>
      <c r="Q5" s="7" t="s">
        <v>117</v>
      </c>
      <c r="R5" s="16">
        <v>100</v>
      </c>
    </row>
    <row r="6" spans="1:21" x14ac:dyDescent="0.25">
      <c r="A6" s="2">
        <v>1</v>
      </c>
      <c r="B6" s="2" t="s">
        <v>184</v>
      </c>
      <c r="C6" s="4" t="s">
        <v>21</v>
      </c>
      <c r="D6" s="2" t="s">
        <v>106</v>
      </c>
      <c r="E6" s="2" t="s">
        <v>119</v>
      </c>
      <c r="F6" s="2" t="s">
        <v>120</v>
      </c>
      <c r="G6">
        <v>10</v>
      </c>
      <c r="H6" s="2" t="s">
        <v>124</v>
      </c>
      <c r="K6">
        <v>1</v>
      </c>
      <c r="Q6" s="7" t="s">
        <v>118</v>
      </c>
      <c r="R6" s="16">
        <f>ROUNDUP(R4 / R5, 0)</f>
        <v>5</v>
      </c>
    </row>
    <row r="7" spans="1:21" x14ac:dyDescent="0.25">
      <c r="A7" s="2">
        <v>1</v>
      </c>
      <c r="B7" s="2" t="s">
        <v>185</v>
      </c>
      <c r="C7" s="4" t="s">
        <v>21</v>
      </c>
      <c r="D7" s="2" t="s">
        <v>106</v>
      </c>
      <c r="E7" s="2" t="s">
        <v>121</v>
      </c>
      <c r="F7" s="2" t="s">
        <v>120</v>
      </c>
      <c r="G7">
        <v>10</v>
      </c>
      <c r="H7" s="2" t="s">
        <v>124</v>
      </c>
      <c r="K7">
        <v>1</v>
      </c>
      <c r="Q7" s="7" t="s">
        <v>66</v>
      </c>
      <c r="R7" s="16">
        <v>110</v>
      </c>
    </row>
    <row r="8" spans="1:21" x14ac:dyDescent="0.25">
      <c r="A8" s="2"/>
      <c r="B8" s="2"/>
      <c r="C8" s="4"/>
      <c r="D8" s="2"/>
      <c r="E8" s="2"/>
      <c r="F8" s="2"/>
      <c r="Q8" s="7" t="s">
        <v>69</v>
      </c>
      <c r="R8" s="17">
        <f>R7 * R6</f>
        <v>550</v>
      </c>
    </row>
    <row r="9" spans="1:21" x14ac:dyDescent="0.25">
      <c r="A9" s="2"/>
      <c r="B9" s="2"/>
      <c r="C9" s="4"/>
      <c r="D9" s="2"/>
      <c r="E9" s="2"/>
      <c r="F9" s="2"/>
      <c r="Q9" s="7" t="s">
        <v>67</v>
      </c>
      <c r="R9" s="18">
        <v>0.13500000000000001</v>
      </c>
    </row>
    <row r="10" spans="1:21" x14ac:dyDescent="0.25">
      <c r="A10" s="2"/>
      <c r="B10" s="2"/>
      <c r="C10" s="4"/>
      <c r="D10" s="2"/>
      <c r="E10" s="2"/>
      <c r="F10" s="2"/>
      <c r="H10" s="2"/>
      <c r="Q10" s="7" t="s">
        <v>68</v>
      </c>
      <c r="R10" s="17">
        <f>R8*R9</f>
        <v>74.25</v>
      </c>
    </row>
    <row r="11" spans="1:21" x14ac:dyDescent="0.25">
      <c r="A11" s="2"/>
      <c r="B11" s="2"/>
      <c r="C11" s="4"/>
      <c r="D11" s="2"/>
      <c r="E11" s="2"/>
      <c r="F11" s="2"/>
      <c r="H11" s="2"/>
      <c r="Q11" s="9" t="s">
        <v>70</v>
      </c>
      <c r="R11" s="19">
        <f>R8+R10</f>
        <v>624.25</v>
      </c>
    </row>
    <row r="12" spans="1:21" x14ac:dyDescent="0.25">
      <c r="A12" s="2"/>
      <c r="B12" s="2"/>
      <c r="C12" s="4"/>
      <c r="D12" s="2"/>
      <c r="E12" s="2"/>
      <c r="F12" s="2"/>
      <c r="H12" s="2"/>
    </row>
    <row r="13" spans="1:21" x14ac:dyDescent="0.25">
      <c r="A13" s="2"/>
      <c r="B13" s="2"/>
      <c r="C13" s="4"/>
      <c r="D13" s="2"/>
      <c r="E13" s="2"/>
      <c r="F13" s="2"/>
      <c r="H13" s="2"/>
      <c r="Q13" s="5" t="s">
        <v>72</v>
      </c>
      <c r="R13" s="15">
        <v>4</v>
      </c>
      <c r="T13" s="5" t="s">
        <v>95</v>
      </c>
      <c r="U13" s="6">
        <v>24</v>
      </c>
    </row>
    <row r="14" spans="1:21" x14ac:dyDescent="0.25">
      <c r="A14" s="2"/>
      <c r="B14" s="2"/>
      <c r="C14" s="4"/>
      <c r="D14" s="2"/>
      <c r="E14" s="2"/>
      <c r="F14" s="2"/>
      <c r="H14" s="2"/>
      <c r="Q14" s="7" t="s">
        <v>76</v>
      </c>
      <c r="R14" s="17">
        <v>10</v>
      </c>
      <c r="T14" s="9" t="s">
        <v>96</v>
      </c>
      <c r="U14" s="22">
        <f>ROUNDUP(R13/U13,0)</f>
        <v>1</v>
      </c>
    </row>
    <row r="15" spans="1:21" x14ac:dyDescent="0.25">
      <c r="A15" s="2"/>
      <c r="B15" s="2"/>
      <c r="C15" s="4"/>
      <c r="D15" s="2"/>
      <c r="E15" s="2"/>
      <c r="F15" s="2"/>
      <c r="H15" s="2"/>
      <c r="Q15" s="7" t="s">
        <v>69</v>
      </c>
      <c r="R15" s="17">
        <f>R14 * R13</f>
        <v>40</v>
      </c>
    </row>
    <row r="16" spans="1:21" x14ac:dyDescent="0.25">
      <c r="A16" s="2"/>
      <c r="B16" s="2"/>
      <c r="C16" s="4"/>
      <c r="D16" s="2"/>
      <c r="E16" s="2"/>
      <c r="F16" s="2"/>
      <c r="H16" s="2"/>
      <c r="Q16" s="7" t="s">
        <v>67</v>
      </c>
      <c r="R16" s="18">
        <v>0.13500000000000001</v>
      </c>
    </row>
    <row r="17" spans="1:18" x14ac:dyDescent="0.25">
      <c r="A17" s="2"/>
      <c r="B17" s="2"/>
      <c r="C17" s="4"/>
      <c r="D17" s="2"/>
      <c r="E17" s="2"/>
      <c r="F17" s="2"/>
      <c r="H17" s="2"/>
      <c r="Q17" s="7" t="s">
        <v>68</v>
      </c>
      <c r="R17" s="17">
        <f>R15*R16</f>
        <v>5.4</v>
      </c>
    </row>
    <row r="18" spans="1:18" x14ac:dyDescent="0.25">
      <c r="A18" s="2"/>
      <c r="B18" s="2"/>
      <c r="C18" s="4"/>
      <c r="D18" s="2"/>
      <c r="E18" s="2"/>
      <c r="F18" s="2"/>
      <c r="H18" s="2"/>
      <c r="Q18" s="9" t="s">
        <v>70</v>
      </c>
      <c r="R18" s="19">
        <f>R15+R17</f>
        <v>45.4</v>
      </c>
    </row>
    <row r="19" spans="1:18" x14ac:dyDescent="0.25">
      <c r="A19" s="2"/>
      <c r="B19" s="2"/>
      <c r="C19" s="4"/>
      <c r="D19" s="2"/>
      <c r="E19" s="2"/>
      <c r="F19" s="2"/>
      <c r="H19" s="2"/>
    </row>
    <row r="20" spans="1:18" x14ac:dyDescent="0.25">
      <c r="A20" s="2"/>
      <c r="B20" s="2"/>
      <c r="C20" s="4"/>
      <c r="D20" s="2"/>
      <c r="E20" s="2"/>
      <c r="F20" s="2"/>
      <c r="H20" s="2"/>
      <c r="Q20" s="5" t="s">
        <v>77</v>
      </c>
      <c r="R20" s="15">
        <f>$I$2</f>
        <v>0</v>
      </c>
    </row>
    <row r="21" spans="1:18" x14ac:dyDescent="0.25">
      <c r="A21" s="2"/>
      <c r="B21" s="2"/>
      <c r="C21" s="4"/>
      <c r="D21" s="2"/>
      <c r="E21" s="2"/>
      <c r="F21" s="2"/>
      <c r="H21" s="2"/>
      <c r="Q21" s="7" t="s">
        <v>78</v>
      </c>
      <c r="R21" s="16">
        <f>$J$2</f>
        <v>0</v>
      </c>
    </row>
    <row r="22" spans="1:18" x14ac:dyDescent="0.25">
      <c r="A22" s="2"/>
      <c r="B22" s="2"/>
      <c r="C22" s="4"/>
      <c r="D22" s="2"/>
      <c r="E22" s="2"/>
      <c r="F22" s="2"/>
      <c r="H22" s="2"/>
      <c r="Q22" s="7" t="s">
        <v>79</v>
      </c>
      <c r="R22" s="16">
        <f>$K$2</f>
        <v>4</v>
      </c>
    </row>
    <row r="23" spans="1:18" x14ac:dyDescent="0.25">
      <c r="A23" s="2"/>
      <c r="B23" s="2"/>
      <c r="C23" s="4"/>
      <c r="D23" s="2"/>
      <c r="E23" s="2"/>
      <c r="F23" s="2"/>
      <c r="H23" s="2"/>
      <c r="Q23" s="7" t="s">
        <v>82</v>
      </c>
      <c r="R23" s="16">
        <f>SUM(R20:R22)</f>
        <v>4</v>
      </c>
    </row>
    <row r="24" spans="1:18" x14ac:dyDescent="0.25">
      <c r="A24" s="2"/>
      <c r="B24" s="2"/>
      <c r="C24" s="4"/>
      <c r="D24" s="2"/>
      <c r="E24" s="2"/>
      <c r="F24" s="2"/>
      <c r="H24" s="2"/>
      <c r="Q24" s="7" t="s">
        <v>81</v>
      </c>
      <c r="R24" s="16">
        <v>24</v>
      </c>
    </row>
    <row r="25" spans="1:18" x14ac:dyDescent="0.25">
      <c r="A25" s="2"/>
      <c r="B25" s="2"/>
      <c r="C25" s="4"/>
      <c r="D25" s="2"/>
      <c r="E25" s="2"/>
      <c r="F25" s="2"/>
      <c r="H25" s="2"/>
      <c r="Q25" s="7" t="s">
        <v>83</v>
      </c>
      <c r="R25" s="16">
        <f>ROUNDUP(R23 / R24,0)</f>
        <v>1</v>
      </c>
    </row>
    <row r="26" spans="1:18" x14ac:dyDescent="0.25">
      <c r="A26" s="2"/>
      <c r="B26" s="2"/>
      <c r="C26" s="4"/>
      <c r="D26" s="2"/>
      <c r="E26" s="2"/>
      <c r="F26" s="2"/>
      <c r="H26" s="2"/>
      <c r="Q26" s="7" t="s">
        <v>84</v>
      </c>
      <c r="R26" s="17">
        <v>2000</v>
      </c>
    </row>
    <row r="27" spans="1:18" x14ac:dyDescent="0.25">
      <c r="A27" s="2"/>
      <c r="B27" s="2"/>
      <c r="C27" s="4"/>
      <c r="D27" s="2"/>
      <c r="E27" s="2"/>
      <c r="F27" s="2"/>
      <c r="H27" s="2"/>
      <c r="Q27" s="7" t="s">
        <v>69</v>
      </c>
      <c r="R27" s="17">
        <f>R26 * R25</f>
        <v>2000</v>
      </c>
    </row>
    <row r="28" spans="1:18" x14ac:dyDescent="0.25">
      <c r="A28" s="2"/>
      <c r="B28" s="2"/>
      <c r="C28" s="4"/>
      <c r="D28" s="2"/>
      <c r="E28" s="2"/>
      <c r="F28" s="2"/>
      <c r="H28" s="2"/>
      <c r="Q28" s="7" t="s">
        <v>67</v>
      </c>
      <c r="R28" s="18">
        <v>0.13500000000000001</v>
      </c>
    </row>
    <row r="29" spans="1:18" x14ac:dyDescent="0.25">
      <c r="A29" s="2"/>
      <c r="B29" s="2"/>
      <c r="C29" s="4"/>
      <c r="D29" s="2"/>
      <c r="E29" s="2"/>
      <c r="H29" s="2"/>
      <c r="Q29" s="7" t="s">
        <v>68</v>
      </c>
      <c r="R29" s="17">
        <f>R27*R28</f>
        <v>270</v>
      </c>
    </row>
    <row r="30" spans="1:18" x14ac:dyDescent="0.25">
      <c r="Q30" s="9" t="s">
        <v>70</v>
      </c>
      <c r="R30" s="19">
        <f>R27+R29</f>
        <v>2270</v>
      </c>
    </row>
    <row r="35" spans="1:1" x14ac:dyDescent="0.25">
      <c r="A35" t="s">
        <v>116</v>
      </c>
    </row>
  </sheetData>
  <mergeCells count="2">
    <mergeCell ref="I1:K1"/>
    <mergeCell ref="L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</vt:lpstr>
      <vt:lpstr>Floor Distributer 1A</vt:lpstr>
      <vt:lpstr>Floor Distributer 1B</vt:lpstr>
      <vt:lpstr>Campus Distributor 1</vt:lpstr>
      <vt:lpstr>Total_100mbs</vt:lpstr>
      <vt:lpstr>Total_10mbs</vt:lpstr>
      <vt:lpstr>Total_1gbs</vt:lpstr>
      <vt:lpstr>Total_CAT6_Length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Stewart</dc:creator>
  <cp:lastModifiedBy>Philip Stewart</cp:lastModifiedBy>
  <dcterms:created xsi:type="dcterms:W3CDTF">2025-01-29T14:47:27Z</dcterms:created>
  <dcterms:modified xsi:type="dcterms:W3CDTF">2025-01-31T12:50:44Z</dcterms:modified>
</cp:coreProperties>
</file>